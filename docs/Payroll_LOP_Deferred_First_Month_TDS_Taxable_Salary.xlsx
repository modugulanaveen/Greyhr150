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70fb0a170546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ary Structure" sheetId="1" r:id="Rbd2b432410e44519"/>
    <x:sheet xmlns:r="http://schemas.openxmlformats.org/officeDocument/2006/relationships" name="Monthly LOP Payroll" sheetId="2" r:id="Rbecd50e3d46743c0"/>
    <x:sheet xmlns:r="http://schemas.openxmlformats.org/officeDocument/2006/relationships" name="Examples &amp; Guide" sheetId="3" r:id="R277a3d3227c748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;[Red](#,##0);–"/>
    <x:numFmt numFmtId="201" formatCode="0%"/>
    <x:numFmt numFmtId="202" formatCode="0.00"/>
    <x:numFmt numFmtId="203" formatCode="dd-mmm-yyyy"/>
    <x:numFmt numFmtId="204" formatCode="mmm-yyyy"/>
  </x:numFmts>
  <x:fonts count="3">
    <x:font>
      <x:sz val="11"/>
      <x:name val="Carlito"/>
    </x:font>
    <x:font>
      <x:b/>
      <x:sz val="13"/>
      <x:color rgb="FFFFFFFF"/>
      <x:name val="Carlito"/>
    </x:font>
    <x:font>
      <x:b/>
      <x:sz val="11"/>
      <x:color rgb="FF122C5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416DB5"/>
      </x:patternFill>
    </x:fill>
    <x:fill>
      <x:patternFill patternType="solid">
        <x:fgColor rgb="FF1553BD"/>
      </x:patternFill>
    </x:fill>
    <x:fill>
      <x:patternFill patternType="solid">
        <x:fgColor rgb="FFFFF2CC"/>
      </x:patternFill>
    </x:fill>
    <x:fill>
      <x:patternFill patternType="solid">
        <x:fgColor rgb="FFD9EFD2"/>
      </x:patternFill>
    </x:fill>
    <x:fill>
      <x:patternFill patternType="solid">
        <x:fgColor rgb="FFD9EAFB"/>
      </x:patternFill>
    </x:fill>
    <x:fill>
      <x:patternFill patternType="solid">
        <x:fgColor rgb="FFFFF200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200" fontId="0" fillId="0" borderId="0" xfId="0" applyNumberFormat="1" applyFont="1" applyFill="1" applyBorder="1"/>
    <x:xf numFmtId="200" fontId="0" fillId="5" borderId="0" xfId="0" applyNumberFormat="1" applyFont="1" applyFill="1" applyBorder="1"/>
    <x:xf numFmtId="200" fontId="0" fillId="6" borderId="0" xfId="0" applyNumberFormat="1" applyFont="1" applyFill="1" applyBorder="1"/>
    <x:xf numFmtId="200" fontId="0" fillId="0" borderId="1" xfId="0" applyNumberFormat="1" applyFont="1" applyFill="1" applyBorder="1"/>
    <x:xf numFmtId="200" fontId="0" fillId="5" borderId="1" xfId="0" applyNumberFormat="1" applyFont="1" applyFill="1" applyBorder="1"/>
    <x:xf numFmtId="200" fontId="0" fillId="6" borderId="1" xfId="0" applyNumberFormat="1" applyFont="1" applyFill="1" applyBorder="1"/>
    <x:xf numFmtId="201" fontId="0" fillId="7" borderId="0" xfId="0" applyNumberFormat="1" applyFont="1" applyFill="1" applyBorder="1"/>
    <x:xf numFmtId="201" fontId="0" fillId="7" borderId="1" xfId="0" applyNumberFormat="1" applyFont="1" applyFill="1" applyBorder="1"/>
    <x:xf numFmtId="202" fontId="0" fillId="7" borderId="0" xfId="0" applyNumberFormat="1" applyFont="1" applyFill="1" applyBorder="1"/>
    <x:xf numFmtId="202" fontId="0" fillId="7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7" borderId="0" xfId="0" applyNumberFormat="1" applyFont="1" applyFill="1" applyBorder="1"/>
    <x:xf numFmtId="203" fontId="0" fillId="7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0" fontId="0" fillId="7" borderId="0" xfId="0" applyNumberFormat="1" applyFont="1" applyFill="1" applyBorder="1"/>
    <x:xf numFmtId="200" fontId="0" fillId="4" borderId="0" xfId="0" applyNumberFormat="1" applyFont="1" applyFill="1" applyBorder="1"/>
    <x:xf numFmtId="200" fontId="0" fillId="7" borderId="1" xfId="0" applyNumberFormat="1" applyFont="1" applyFill="1" applyBorder="1"/>
    <x:xf numFmtId="200" fontId="0" fillId="4" borderId="1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941c40876041f3" /><Relationship Type="http://schemas.openxmlformats.org/officeDocument/2006/relationships/theme" Target="/xl/theme/theme1.xml" Id="R70e2a4dd97704b3c" /><Relationship Type="http://schemas.openxmlformats.org/officeDocument/2006/relationships/sharedStrings" Target="/xl/sharedStrings.xml" Id="Re23f0f66c1e243ce" /><Relationship Type="http://schemas.openxmlformats.org/officeDocument/2006/relationships/worksheet" Target="/xl/worksheets/sheet1.xml" Id="Rbd2b432410e44519" /><Relationship Type="http://schemas.openxmlformats.org/officeDocument/2006/relationships/worksheet" Target="/xl/worksheets/sheet2.xml" Id="Rbecd50e3d46743c0" /><Relationship Type="http://schemas.openxmlformats.org/officeDocument/2006/relationships/worksheet" Target="/xl/worksheets/sheet3.xml" Id="R277a3d3227c748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19" hidden="0" customWidth="1"/>
    <x:col min="3" max="3" width="19" hidden="0" customWidth="1"/>
    <x:col min="4" max="4" width="15" hidden="0" customWidth="1"/>
    <x:col min="5" max="5" width="40" hidden="0" customWidth="1"/>
    <x:col min="6" max="6" width="20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3" t="str">
        <x:v>PAYROLL SALARY CALCULATOR</x:v>
      </x:c>
      <x:c r="B1" s="3"/>
      <x:c r="C1" s="3"/>
      <x:c r="E1" s="7" t="str">
        <x:v>SALARY POLICY / PF SETTINGS</x:v>
      </x:c>
      <x:c r="F1" s="7"/>
    </x:row>
    <x:row r="3">
      <x:c r="A3" t="str">
        <x:v>Annual CTC (editable)</x:v>
      </x:c>
      <x:c r="B3" s="16" t="n">
        <x:v>1320000</x:v>
      </x:c>
      <x:c r="E3" t="str">
        <x:v>PF wage ceiling (editable assumption)</x:v>
      </x:c>
      <x:c r="F3" s="16" t="n">
        <x:v>25000</x:v>
      </x:c>
    </x:row>
    <x:row r="4">
      <x:c r="A4" t="str">
        <x:v>Monthly CTC</x:v>
      </x:c>
      <x:c r="B4" t="n">
        <x:f>ROUND(B3/12,0)</x:f>
        <x:v>110000</x:v>
      </x:c>
      <x:c r="E4" t="str">
        <x:v>Minimum target basic</x:v>
      </x:c>
      <x:c r="F4" s="16" t="n">
        <x:v>20000</x:v>
      </x:c>
    </x:row>
    <x:row r="5">
      <x:c r="E5" t="str">
        <x:v>Employer PF rate</x:v>
      </x:c>
      <x:c r="F5" s="24" t="n">
        <x:v>0.12</x:v>
      </x:c>
    </x:row>
    <x:row r="6">
      <x:c r="E6" t="str">
        <x:v>Employee PF rate</x:v>
      </x:c>
      <x:c r="F6" s="24" t="n">
        <x:v>0.12</x:v>
      </x:c>
    </x:row>
    <x:row r="7">
      <x:c r="A7" s="10" t="str">
        <x:v>SALARY COMPONENTS</x:v>
      </x:c>
      <x:c r="B7" s="10" t="str">
        <x:v>Per month (₹)</x:v>
      </x:c>
      <x:c r="C7" s="10" t="str">
        <x:v>Per annum (₹)</x:v>
      </x:c>
      <x:c r="E7" t="str">
        <x:v>PT per eligible month</x:v>
      </x:c>
      <x:c r="F7" s="16" t="n">
        <x:v>200</x:v>
      </x:c>
    </x:row>
    <x:row r="8">
      <x:c r="A8" t="str">
        <x:v>Basic Salary</x:v>
      </x:c>
      <x:c r="B8" s="18" t="n">
        <x:f>IF(B4&lt;=F4*(1+F5),ROUND(B4/(1+F5),0),MAX(F4,ROUND(B4*0.5,0)))</x:f>
        <x:v>55000</x:v>
      </x:c>
      <x:c r="C8" s="18" t="n">
        <x:f>B8*12</x:f>
        <x:v>660000</x:v>
      </x:c>
      <x:c r="E8" t="str">
        <x:v>Resident individual (1=yes)</x:v>
      </x:c>
      <x:c r="F8" s="16" t="n">
        <x:v>1</x:v>
      </x:c>
    </x:row>
    <x:row r="9" ht="30" customHeight="1">
      <x:c r="A9" t="str">
        <x:v>Special Allowance</x:v>
      </x:c>
      <x:c r="B9" s="18" t="n">
        <x:f>MAX(0,B10-B8)</x:f>
        <x:v>52000</x:v>
      </x:c>
      <x:c r="C9" s="18" t="n">
        <x:f>B9*12</x:f>
        <x:v>624000</x:v>
      </x:c>
      <x:c r="E9" s="28" t="str">
        <x:v>Previous employer taxable salary</x:v>
      </x:c>
      <x:c r="F9" s="16" t="n">
        <x:v>0</x:v>
      </x:c>
    </x:row>
    <x:row r="10">
      <x:c r="A10" s="12" t="str">
        <x:v>Gross Salary</x:v>
      </x:c>
      <x:c r="B10" s="19" t="n">
        <x:f>B4-B18</x:f>
        <x:v>107000</x:v>
      </x:c>
      <x:c r="C10" s="19" t="n">
        <x:f>B10*12</x:f>
        <x:v>1284000</x:v>
      </x:c>
      <x:c r="E10" t="str">
        <x:v>Previous employer TDS</x:v>
      </x:c>
      <x:c r="F10" s="16" t="n">
        <x:v>0</x:v>
      </x:c>
    </x:row>
    <x:row r="11">
      <x:c r="B11" s="18"/>
      <x:c r="C11" s="18"/>
      <x:c r="E11" t="str">
        <x:v>Other ordinary taxable income</x:v>
      </x:c>
      <x:c r="F11" s="16" t="n">
        <x:v>0</x:v>
      </x:c>
    </x:row>
    <x:row r="12">
      <x:c r="A12" t="str">
        <x:v>Employee PF</x:v>
      </x:c>
      <x:c r="B12" s="18" t="n">
        <x:f>ROUND(MIN(B8,F3)*F6,0)</x:f>
        <x:v>3000</x:v>
      </x:c>
      <x:c r="C12" s="18" t="n">
        <x:f>B12*12</x:f>
        <x:v>36000</x:v>
      </x:c>
      <x:c r="E12" t="str">
        <x:v>TDS already deducted by us</x:v>
      </x:c>
      <x:c r="F12" s="16" t="n">
        <x:v>0</x:v>
      </x:c>
    </x:row>
    <x:row r="13">
      <x:c r="A13" t="str">
        <x:v>Professional Tax</x:v>
      </x:c>
      <x:c r="B13" s="18" t="n">
        <x:f>IF(B10&gt;0,F7,0)</x:f>
        <x:v>200</x:v>
      </x:c>
      <x:c r="C13" s="18" t="n">
        <x:f>B13*12</x:f>
        <x:v>2400</x:v>
      </x:c>
      <x:c r="E13" t="str">
        <x:v>First-month TDS paid-day factor</x:v>
      </x:c>
      <x:c r="F13" s="26" t="n">
        <x:v>1</x:v>
      </x:c>
    </x:row>
    <x:row r="14">
      <x:c r="A14" t="str">
        <x:v>Income Tax / TDS (illustrative)</x:v>
      </x:c>
      <x:c r="B14" s="18" t="n">
        <x:f>IFERROR(ROUND(F26/12,0),0)</x:f>
        <x:v>0</x:v>
      </x:c>
      <x:c r="C14" s="18" t="n">
        <x:f>B14*12</x:f>
        <x:v>0</x:v>
      </x:c>
    </x:row>
    <x:row r="15">
      <x:c r="A15" s="12" t="str">
        <x:v>Total deductions</x:v>
      </x:c>
      <x:c r="B15" s="19" t="n">
        <x:f>SUM(B12:B14)</x:f>
        <x:v>3200</x:v>
      </x:c>
      <x:c r="C15" s="19" t="n">
        <x:f>B15*12</x:f>
        <x:v>38400</x:v>
      </x:c>
    </x:row>
    <x:row r="16" ht="28" customHeight="1">
      <x:c r="A16" s="14" t="str">
        <x:v>Net salary</x:v>
      </x:c>
      <x:c r="B16" s="20" t="n">
        <x:f>B10-B15</x:f>
        <x:v>103800</x:v>
      </x:c>
      <x:c r="C16" s="20" t="n">
        <x:f>B16*12</x:f>
        <x:v>1245600</x:v>
      </x:c>
      <x:c r="E16" s="7" t="str">
        <x:v>FY 2026-27 PROJECTED INCOME TAX</x:v>
      </x:c>
      <x:c r="F16" s="7"/>
    </x:row>
    <x:row r="17">
      <x:c r="B17" s="18"/>
      <x:c r="C17" s="18"/>
      <x:c r="E17" t="str">
        <x:v>Current employer FY gross (after LOP)</x:v>
      </x:c>
      <x:c r="F17" s="18" t="n">
        <x:f>SUM('Monthly LOP Payroll'!H7:H18)</x:f>
        <x:v>1083807</x:v>
      </x:c>
    </x:row>
    <x:row r="18" ht="30" customHeight="1">
      <x:c r="A18" t="str">
        <x:v>Employer PF</x:v>
      </x:c>
      <x:c r="B18" s="18" t="n">
        <x:f>MIN(B4,ROUND(MIN(B8,F3)*F5,0))</x:f>
        <x:v>3000</x:v>
      </x:c>
      <x:c r="C18" s="18" t="n">
        <x:f>B18*12</x:f>
        <x:v>36000</x:v>
      </x:c>
      <x:c r="E18" s="28" t="str">
        <x:v>Previous employer taxable salary</x:v>
      </x:c>
      <x:c r="F18" s="18" t="n">
        <x:f>F9</x:f>
        <x:v>0</x:v>
      </x:c>
    </x:row>
    <x:row r="19">
      <x:c r="A19" s="14" t="str">
        <x:v>CTC = Gross + Employer PF</x:v>
      </x:c>
      <x:c r="B19" s="20" t="n">
        <x:f>B10+B18</x:f>
        <x:v>110000</x:v>
      </x:c>
      <x:c r="C19" s="20" t="n">
        <x:f>B19*12</x:f>
        <x:v>1320000</x:v>
      </x:c>
      <x:c r="E19" t="str">
        <x:v>Other ordinary taxable income</x:v>
      </x:c>
      <x:c r="F19" s="18" t="n">
        <x:f>F11</x:f>
        <x:v>0</x:v>
      </x:c>
    </x:row>
    <x:row r="20">
      <x:c r="E20" t="str">
        <x:v>Standard deduction (once only)</x:v>
      </x:c>
      <x:c r="F20" s="18" t="n">
        <x:v>75000</x:v>
      </x:c>
    </x:row>
    <x:row r="21">
      <x:c r="E21" t="str">
        <x:v>Projected taxable income</x:v>
      </x:c>
      <x:c r="F21" s="18" t="n">
        <x:f>MAX(0,F17+F18+F19-IF(F18&gt;0,0,F20))</x:f>
        <x:v>1008807</x:v>
      </x:c>
    </x:row>
    <x:row r="22" ht="36" customHeight="1">
      <x:c r="A22" s="28" t="str">
        <x:v>Blue = totals  |  Yellow = editable  |  First-month TDS is prorated; deferred balance goes to later months.</x:v>
      </x:c>
      <x:c r="B22" s="28"/>
      <x:c r="C22" s="28"/>
      <x:c r="E22" t="str">
        <x:v>Tax before rebate</x:v>
      </x:c>
      <x:c r="F22" s="18" t="n">
        <x:f>ROUND(MAX(MIN(F21,800000)-400000,0)*0.05+MAX(MIN(F21,1200000)-800000,0)*0.1+MAX(MIN(F21,1600000)-1200000,0)*0.15+MAX(MIN(F21,2000000)-1600000,0)*0.2+MAX(MIN(F21,2400000)-2000000,0)*0.25+MAX(F21-2400000,0)*0.3,0)</x:f>
        <x:v>40881</x:v>
      </x:c>
    </x:row>
    <x:row r="23">
      <x:c r="E23" t="str">
        <x:v>Tax after rebate / marginal relief</x:v>
      </x:c>
      <x:c r="F23" s="18" t="n">
        <x:f>IF(F8=1,IF(F21&lt;=1200000,0,MIN(F22,MAX(0,F21-1200000))),F22)</x:f>
        <x:v>0</x:v>
      </x:c>
    </x:row>
    <x:row r="24">
      <x:c r="E24" t="str">
        <x:v>Health &amp; education cess</x:v>
      </x:c>
      <x:c r="F24" s="18" t="n">
        <x:f>ROUND(F23*0.04,0)</x:f>
        <x:v>0</x:v>
      </x:c>
    </x:row>
    <x:row r="25">
      <x:c r="E25" t="str">
        <x:v>Total annual tax</x:v>
      </x:c>
      <x:c r="F25" s="18" t="n">
        <x:f>F23+F24</x:f>
        <x:v>0</x:v>
      </x:c>
    </x:row>
    <x:row r="26">
      <x:c r="E26" t="str">
        <x:v>Annual TDS still to recover</x:v>
      </x:c>
      <x:c r="F26" s="18" t="n">
        <x:f>MAX(0,F25-F10-F12)</x:f>
        <x:v>0</x:v>
      </x:c>
    </x:row>
    <x:row r="27">
      <x:c r="E27" t="str">
        <x:v>Normal TDS / active payroll month</x:v>
      </x:c>
      <x:c r="F27" s="18" t="n">
        <x:f>IFERROR(ROUND(F26/COUNTIF('Monthly LOP Payroll'!E7:E18,"&gt;0"),0),0)</x:f>
        <x:v>0</x:v>
      </x:c>
    </x:row>
    <x:row r="28">
      <x:c r="E28" t="str">
        <x:v>First-month deferred TDS</x:v>
      </x:c>
      <x:c r="F28" s="18" t="e">
        <x:f>'Monthly LOP Payroll'!R20</x:f>
        <x:v>#N/A</x:v>
      </x:c>
    </x:row>
    <x:row r="29">
      <x:c r="E29" t="str">
        <x:v>Actual payroll TDS total</x:v>
      </x:c>
      <x:c r="F29" s="18" t="e">
        <x:f>SUM('Monthly LOP Payroll'!N7:N18)</x:f>
        <x:v>#N/A</x:v>
      </x:c>
    </x:row>
    <x:row r="30">
      <x:c r="E30" t="str">
        <x:v>Remaining TDS reconciliation</x:v>
      </x:c>
      <x:c r="F30" s="18" t="e">
        <x:f>F26-F29</x:f>
        <x:v>#N/A</x:v>
      </x:c>
    </x:row>
    <x:row r="33">
      <x:c r="E33" s="28" t="str">
        <x:v>Tax estimate assumes ordinary slab-rate income under the new regime and resident rebate eligibility. Verify PF ceiling and PT applicability before live payroll.</x:v>
      </x:c>
      <x:c r="F33" s="28"/>
    </x:row>
    <x:row r="34">
      <x:c r="E34" s="28" t="str">
        <x:v>Previous employer taxable salary must already be AFTER its standard deduction. When entered, this workbook does not deduct ₹75,000 again.</x:v>
      </x:c>
      <x:c r="F34" s="28"/>
    </x:row>
  </x:sheetData>
  <x:mergeCells>
    <x:mergeCell ref="A1:C1"/>
    <x:mergeCell ref="E1:F1"/>
    <x:mergeCell ref="E16:F16"/>
    <x:mergeCell ref="A22:C22"/>
    <x:mergeCell ref="E33:F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23" hidden="0" customWidth="1"/>
  </x:cols>
  <x:sheetData>
    <x:row r="1" ht="28" customHeight="1">
      <x:c r="A1" s="3" t="str">
        <x:v>MONTHLY PAYROLL &amp; LOSS OF PAY — DEFERRED FIRST-MONTH TDS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3">
      <x:c r="A3" t="str">
        <x:v>Employee name</x:v>
      </x:c>
      <x:c r="B3" s="16" t="str"/>
      <x:c r="D3" t="str">
        <x:v>Joining date</x:v>
      </x:c>
      <x:c r="E3" s="32" t="n">
        <x:v>46170</x:v>
      </x:c>
    </x:row>
    <x:row r="4" ht="34" customHeight="1">
      <x:c r="A4" s="28" t="str">
        <x:v>First month: TDS = normal monthly TDS × (paid days ÷ calendar days) × adjustable factor. Deferred amount is split equally across remaining eligible months.</x:v>
      </x:c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</x:row>
    <x:row r="6" ht="34" customHeight="1">
      <x:c r="A6" s="35" t="str">
        <x:v>Month</x:v>
      </x:c>
      <x:c r="B6" s="35" t="str">
        <x:v>Calendar days</x:v>
      </x:c>
      <x:c r="C6" s="35" t="str">
        <x:v>Eligible days</x:v>
      </x:c>
      <x:c r="D6" s="35" t="str">
        <x:v>LOP days</x:v>
      </x:c>
      <x:c r="E6" s="35" t="str">
        <x:v>Paid days</x:v>
      </x:c>
      <x:c r="F6" s="35" t="str">
        <x:v>Basic</x:v>
      </x:c>
      <x:c r="G6" s="35" t="str">
        <x:v>Special</x:v>
      </x:c>
      <x:c r="H6" s="35" t="str">
        <x:v>Gross</x:v>
      </x:c>
      <x:c r="I6" s="35" t="str">
        <x:v>Employee PF</x:v>
      </x:c>
      <x:c r="J6" s="35" t="str">
        <x:v>PT</x:v>
      </x:c>
      <x:c r="K6" s="35" t="str">
        <x:v>TDS override</x:v>
      </x:c>
      <x:c r="L6" s="35" t="str">
        <x:v>TDS</x:v>
      </x:c>
      <x:c r="M6" s="35" t="str">
        <x:v>Total deductions</x:v>
      </x:c>
      <x:c r="N6" s="35" t="str">
        <x:v>Net salary</x:v>
      </x:c>
      <x:c r="O6" s="35" t="str">
        <x:v>LOP deduction</x:v>
      </x:c>
      <x:c r="P6" s="35" t="str">
        <x:v>Employer PF</x:v>
      </x:c>
      <x:c r="Q6" s="35" t="str">
        <x:v>Monthly CTC</x:v>
      </x:c>
      <x:c r="R6" s="35" t="str">
        <x:v>First-month deferred</x:v>
      </x:c>
    </x:row>
    <x:row r="7">
      <x:c r="A7" s="38" t="n">
        <x:v>46113</x:v>
      </x:c>
      <x:c r="B7" t="n">
        <x:f>DAY(EOMONTH(A7,0))</x:f>
        <x:v>30</x:v>
      </x:c>
      <x:c r="C7" t="n">
        <x:f>IF(EOMONTH(A7,0)&lt;$E$3,0,IF($E$3&gt;A7,B7-DAY($E$3)+1,B7))</x:f>
        <x:v>0</x:v>
      </x:c>
      <x:c r="D7" s="16" t="n">
        <x:v>0</x:v>
      </x:c>
      <x:c r="E7" t="n">
        <x:f>MAX(0,C7-D7)</x:f>
        <x:v>0</x:v>
      </x:c>
      <x:c r="F7" s="18" t="n">
        <x:f>IF(E7=0,0,ROUND('Salary Structure'!$B$8*E7/B7,0))</x:f>
        <x:v>0</x:v>
      </x:c>
      <x:c r="G7" s="18" t="n">
        <x:f>IF(E7=0,0,ROUND('Salary Structure'!$B$9*E7/B7,0))</x:f>
        <x:v>0</x:v>
      </x:c>
      <x:c r="H7" s="18" t="n">
        <x:f>F7+G7</x:f>
        <x:v>0</x:v>
      </x:c>
      <x:c r="I7" s="18" t="n">
        <x:f>IF(E7=0,0,ROUND(MIN(F7,'Salary Structure'!$F$3)*'Salary Structure'!$F$6,0))</x:f>
        <x:v>0</x:v>
      </x:c>
      <x:c r="J7" s="18" t="n">
        <x:f>IF(E7=0,0,'Salary Structure'!$F$7)</x:f>
        <x:v>0</x:v>
      </x:c>
      <x:c r="K7" s="40"/>
      <x:c r="L7" s="18" t="n">
        <x:f>IF(E7=0,0,IF(ISNUMBER(K7),MAX(0,K7),IF(ROW()=MATCH(TRUE,INDEX($E$7:$E$18&gt;0,0),0)+6,MIN('Salary Structure'!$F$26,ROUND('Salary Structure'!$F$26/COUNTIF($E$7:$E$18,"&gt;0")*E7/B7*'Salary Structure'!$F$13,0)),IF(ROW()=LOOKUP(2,1/($E$7:$E$18&gt;0),ROW($E$7:$E$18)),MAX(0,'Salary Structure'!$F$26-SUM($L$6:L6)),MAX(0,ROUND(('Salary Structure'!$F$26-INDEX($L$7:$L$18,MATCH(TRUE,INDEX($E$7:$E$18&gt;0,0),0)))/(COUNTIF($E$7:$E$18,"&gt;0")-1),0))))))</x:f>
        <x:v>0</x:v>
      </x:c>
      <x:c r="M7" s="18" t="n">
        <x:f>SUM(I7:J7)+L7</x:f>
        <x:v>0</x:v>
      </x:c>
      <x:c r="N7" s="18" t="n">
        <x:f>H7-M7</x:f>
        <x:v>0</x:v>
      </x:c>
      <x:c r="O7" s="18" t="n">
        <x:f>IF(C7=0,0,ROUND('Salary Structure'!$B$10*C7/B7,0)-H7)</x:f>
        <x:v>0</x:v>
      </x:c>
      <x:c r="P7" s="18" t="n">
        <x:f>IF(E7=0,0,ROUND(MIN(F7,'Salary Structure'!$F$3)*'Salary Structure'!$F$5,0))</x:f>
        <x:v>0</x:v>
      </x:c>
      <x:c r="Q7" s="18" t="n">
        <x:f>H7+P7</x:f>
        <x:v>0</x:v>
      </x:c>
      <x:c r="R7" s="18" t="n">
        <x:f>IF(E7=0,0,IF(ROW()=MATCH(TRUE,INDEX($E$7:$E$18&gt;0,0),0)+6,MAX(0,ROUND('Salary Structure'!$F$26/COUNTIF($E$7:$E$18,"&gt;0"),0)-L7),0))</x:f>
        <x:v>0</x:v>
      </x:c>
    </x:row>
    <x:row r="8">
      <x:c r="A8" s="38" t="n">
        <x:v>46143</x:v>
      </x:c>
      <x:c r="B8" t="n">
        <x:f>DAY(EOMONTH(A8,0))</x:f>
        <x:v>31</x:v>
      </x:c>
      <x:c r="C8" t="n">
        <x:f>IF(EOMONTH(A8,0)&lt;$E$3,0,IF($E$3&gt;A8,B8-DAY($E$3)+1,B8))</x:f>
        <x:v>4</x:v>
      </x:c>
      <x:c r="D8" s="16" t="n">
        <x:v>0</x:v>
      </x:c>
      <x:c r="E8" t="n">
        <x:f>MAX(0,C8-D8)</x:f>
        <x:v>4</x:v>
      </x:c>
      <x:c r="F8" s="18" t="n">
        <x:f>IF(E8=0,0,ROUND('Salary Structure'!$B$8*E8/B8,0))</x:f>
        <x:v>7097</x:v>
      </x:c>
      <x:c r="G8" s="18" t="n">
        <x:f>IF(E8=0,0,ROUND('Salary Structure'!$B$9*E8/B8,0))</x:f>
        <x:v>6710</x:v>
      </x:c>
      <x:c r="H8" s="18" t="n">
        <x:f>F8+G8</x:f>
        <x:v>13807</x:v>
      </x:c>
      <x:c r="I8" s="18" t="n">
        <x:f>IF(E8=0,0,ROUND(MIN(F8,'Salary Structure'!$F$3)*'Salary Structure'!$F$6,0))</x:f>
        <x:v>852</x:v>
      </x:c>
      <x:c r="J8" s="18" t="n">
        <x:f>IF(E8=0,0,'Salary Structure'!$F$7)</x:f>
        <x:v>200</x:v>
      </x:c>
      <x:c r="K8" s="40"/>
      <x:c r="L8" s="18" t="e">
        <x:f>IF(E8=0,0,IF(ISNUMBER(K8),MAX(0,K8),IF(ROW()=MATCH(TRUE,INDEX($E$7:$E$18&gt;0,0),0)+6,MIN('Salary Structure'!$F$26,ROUND('Salary Structure'!$F$26/COUNTIF($E$7:$E$18,"&gt;0")*E8/B8*'Salary Structure'!$F$13,0)),IF(ROW()=LOOKUP(2,1/($E$7:$E$18&gt;0),ROW($E$7:$E$18)),MAX(0,'Salary Structure'!$F$26-SUM($L$6:L7)),MAX(0,ROUND(('Salary Structure'!$F$26-INDEX($L$7:$L$18,MATCH(TRUE,INDEX($E$7:$E$18&gt;0,0),0)))/(COUNTIF($E$7:$E$18,"&gt;0")-1),0))))))</x:f>
        <x:v>#N/A</x:v>
      </x:c>
      <x:c r="M8" s="18" t="e">
        <x:f>SUM(I8:J8)+L8</x:f>
        <x:v>#N/A</x:v>
      </x:c>
      <x:c r="N8" s="18" t="e">
        <x:f>H8-M8</x:f>
        <x:v>#N/A</x:v>
      </x:c>
      <x:c r="O8" s="18" t="n">
        <x:f>IF(C8=0,0,ROUND('Salary Structure'!$B$10*C8/B8,0)-H8)</x:f>
        <x:v>-1</x:v>
      </x:c>
      <x:c r="P8" s="18" t="n">
        <x:f>IF(E8=0,0,ROUND(MIN(F8,'Salary Structure'!$F$3)*'Salary Structure'!$F$5,0))</x:f>
        <x:v>852</x:v>
      </x:c>
      <x:c r="Q8" s="18" t="n">
        <x:f>H8+P8</x:f>
        <x:v>14659</x:v>
      </x:c>
      <x:c r="R8" s="18" t="e">
        <x:f>IF(E8=0,0,IF(ROW()=MATCH(TRUE,INDEX($E$7:$E$18&gt;0,0),0)+6,MAX(0,ROUND('Salary Structure'!$F$26/COUNTIF($E$7:$E$18,"&gt;0"),0)-L8),0))</x:f>
        <x:v>#N/A</x:v>
      </x:c>
    </x:row>
    <x:row r="9">
      <x:c r="A9" s="38" t="n">
        <x:v>46174</x:v>
      </x:c>
      <x:c r="B9" t="n">
        <x:f>DAY(EOMONTH(A9,0))</x:f>
        <x:v>30</x:v>
      </x:c>
      <x:c r="C9" t="n">
        <x:f>IF(EOMONTH(A9,0)&lt;$E$3,0,IF($E$3&gt;A9,B9-DAY($E$3)+1,B9))</x:f>
        <x:v>30</x:v>
      </x:c>
      <x:c r="D9" s="16" t="n">
        <x:v>0</x:v>
      </x:c>
      <x:c r="E9" t="n">
        <x:f>MAX(0,C9-D9)</x:f>
        <x:v>30</x:v>
      </x:c>
      <x:c r="F9" s="18" t="n">
        <x:f>IF(E9=0,0,ROUND('Salary Structure'!$B$8*E9/B9,0))</x:f>
        <x:v>55000</x:v>
      </x:c>
      <x:c r="G9" s="18" t="n">
        <x:f>IF(E9=0,0,ROUND('Salary Structure'!$B$9*E9/B9,0))</x:f>
        <x:v>52000</x:v>
      </x:c>
      <x:c r="H9" s="18" t="n">
        <x:f>F9+G9</x:f>
        <x:v>107000</x:v>
      </x:c>
      <x:c r="I9" s="18" t="n">
        <x:f>IF(E9=0,0,ROUND(MIN(F9,'Salary Structure'!$F$3)*'Salary Structure'!$F$6,0))</x:f>
        <x:v>3000</x:v>
      </x:c>
      <x:c r="J9" s="18" t="n">
        <x:f>IF(E9=0,0,'Salary Structure'!$F$7)</x:f>
        <x:v>200</x:v>
      </x:c>
      <x:c r="K9" s="40"/>
      <x:c r="L9" s="18" t="e">
        <x:f>IF(E9=0,0,IF(ISNUMBER(K9),MAX(0,K9),IF(ROW()=MATCH(TRUE,INDEX($E$7:$E$18&gt;0,0),0)+6,MIN('Salary Structure'!$F$26,ROUND('Salary Structure'!$F$26/COUNTIF($E$7:$E$18,"&gt;0")*E9/B9*'Salary Structure'!$F$13,0)),IF(ROW()=LOOKUP(2,1/($E$7:$E$18&gt;0),ROW($E$7:$E$18)),MAX(0,'Salary Structure'!$F$26-SUM($L$6:L8)),MAX(0,ROUND(('Salary Structure'!$F$26-INDEX($L$7:$L$18,MATCH(TRUE,INDEX($E$7:$E$18&gt;0,0),0)))/(COUNTIF($E$7:$E$18,"&gt;0")-1),0))))))</x:f>
        <x:v>#N/A</x:v>
      </x:c>
      <x:c r="M9" s="18" t="e">
        <x:f>SUM(I9:J9)+L9</x:f>
        <x:v>#N/A</x:v>
      </x:c>
      <x:c r="N9" s="18" t="e">
        <x:f>H9-M9</x:f>
        <x:v>#N/A</x:v>
      </x:c>
      <x:c r="O9" s="18" t="n">
        <x:f>IF(C9=0,0,ROUND('Salary Structure'!$B$10*C9/B9,0)-H9)</x:f>
        <x:v>0</x:v>
      </x:c>
      <x:c r="P9" s="18" t="n">
        <x:f>IF(E9=0,0,ROUND(MIN(F9,'Salary Structure'!$F$3)*'Salary Structure'!$F$5,0))</x:f>
        <x:v>3000</x:v>
      </x:c>
      <x:c r="Q9" s="18" t="n">
        <x:f>H9+P9</x:f>
        <x:v>110000</x:v>
      </x:c>
      <x:c r="R9" s="18" t="e">
        <x:f>IF(E9=0,0,IF(ROW()=MATCH(TRUE,INDEX($E$7:$E$18&gt;0,0),0)+6,MAX(0,ROUND('Salary Structure'!$F$26/COUNTIF($E$7:$E$18,"&gt;0"),0)-L9),0))</x:f>
        <x:v>#N/A</x:v>
      </x:c>
    </x:row>
    <x:row r="10">
      <x:c r="A10" s="38" t="n">
        <x:v>46204</x:v>
      </x:c>
      <x:c r="B10" t="n">
        <x:f>DAY(EOMONTH(A10,0))</x:f>
        <x:v>31</x:v>
      </x:c>
      <x:c r="C10" t="n">
        <x:f>IF(EOMONTH(A10,0)&lt;$E$3,0,IF($E$3&gt;A10,B10-DAY($E$3)+1,B10))</x:f>
        <x:v>31</x:v>
      </x:c>
      <x:c r="D10" s="16" t="n">
        <x:v>0</x:v>
      </x:c>
      <x:c r="E10" t="n">
        <x:f>MAX(0,C10-D10)</x:f>
        <x:v>31</x:v>
      </x:c>
      <x:c r="F10" s="18" t="n">
        <x:f>IF(E10=0,0,ROUND('Salary Structure'!$B$8*E10/B10,0))</x:f>
        <x:v>55000</x:v>
      </x:c>
      <x:c r="G10" s="18" t="n">
        <x:f>IF(E10=0,0,ROUND('Salary Structure'!$B$9*E10/B10,0))</x:f>
        <x:v>52000</x:v>
      </x:c>
      <x:c r="H10" s="18" t="n">
        <x:f>F10+G10</x:f>
        <x:v>107000</x:v>
      </x:c>
      <x:c r="I10" s="18" t="n">
        <x:f>IF(E10=0,0,ROUND(MIN(F10,'Salary Structure'!$F$3)*'Salary Structure'!$F$6,0))</x:f>
        <x:v>3000</x:v>
      </x:c>
      <x:c r="J10" s="18" t="n">
        <x:f>IF(E10=0,0,'Salary Structure'!$F$7)</x:f>
        <x:v>200</x:v>
      </x:c>
      <x:c r="K10" s="40"/>
      <x:c r="L10" s="18" t="e">
        <x:f>IF(E10=0,0,IF(ISNUMBER(K10),MAX(0,K10),IF(ROW()=MATCH(TRUE,INDEX($E$7:$E$18&gt;0,0),0)+6,MIN('Salary Structure'!$F$26,ROUND('Salary Structure'!$F$26/COUNTIF($E$7:$E$18,"&gt;0")*E10/B10*'Salary Structure'!$F$13,0)),IF(ROW()=LOOKUP(2,1/($E$7:$E$18&gt;0),ROW($E$7:$E$18)),MAX(0,'Salary Structure'!$F$26-SUM($L$6:L9)),MAX(0,ROUND(('Salary Structure'!$F$26-INDEX($L$7:$L$18,MATCH(TRUE,INDEX($E$7:$E$18&gt;0,0),0)))/(COUNTIF($E$7:$E$18,"&gt;0")-1),0))))))</x:f>
        <x:v>#N/A</x:v>
      </x:c>
      <x:c r="M10" s="18" t="e">
        <x:f>SUM(I10:J10)+L10</x:f>
        <x:v>#N/A</x:v>
      </x:c>
      <x:c r="N10" s="18" t="e">
        <x:f>H10-M10</x:f>
        <x:v>#N/A</x:v>
      </x:c>
      <x:c r="O10" s="18" t="n">
        <x:f>IF(C10=0,0,ROUND('Salary Structure'!$B$10*C10/B10,0)-H10)</x:f>
        <x:v>0</x:v>
      </x:c>
      <x:c r="P10" s="18" t="n">
        <x:f>IF(E10=0,0,ROUND(MIN(F10,'Salary Structure'!$F$3)*'Salary Structure'!$F$5,0))</x:f>
        <x:v>3000</x:v>
      </x:c>
      <x:c r="Q10" s="18" t="n">
        <x:f>H10+P10</x:f>
        <x:v>110000</x:v>
      </x:c>
      <x:c r="R10" s="18" t="e">
        <x:f>IF(E10=0,0,IF(ROW()=MATCH(TRUE,INDEX($E$7:$E$18&gt;0,0),0)+6,MAX(0,ROUND('Salary Structure'!$F$26/COUNTIF($E$7:$E$18,"&gt;0"),0)-L10),0))</x:f>
        <x:v>#N/A</x:v>
      </x:c>
    </x:row>
    <x:row r="11">
      <x:c r="A11" s="38" t="n">
        <x:v>46235</x:v>
      </x:c>
      <x:c r="B11" t="n">
        <x:f>DAY(EOMONTH(A11,0))</x:f>
        <x:v>31</x:v>
      </x:c>
      <x:c r="C11" t="n">
        <x:f>IF(EOMONTH(A11,0)&lt;$E$3,0,IF($E$3&gt;A11,B11-DAY($E$3)+1,B11))</x:f>
        <x:v>31</x:v>
      </x:c>
      <x:c r="D11" s="16" t="n">
        <x:v>0</x:v>
      </x:c>
      <x:c r="E11" t="n">
        <x:f>MAX(0,C11-D11)</x:f>
        <x:v>31</x:v>
      </x:c>
      <x:c r="F11" s="18" t="n">
        <x:f>IF(E11=0,0,ROUND('Salary Structure'!$B$8*E11/B11,0))</x:f>
        <x:v>55000</x:v>
      </x:c>
      <x:c r="G11" s="18" t="n">
        <x:f>IF(E11=0,0,ROUND('Salary Structure'!$B$9*E11/B11,0))</x:f>
        <x:v>52000</x:v>
      </x:c>
      <x:c r="H11" s="18" t="n">
        <x:f>F11+G11</x:f>
        <x:v>107000</x:v>
      </x:c>
      <x:c r="I11" s="18" t="n">
        <x:f>IF(E11=0,0,ROUND(MIN(F11,'Salary Structure'!$F$3)*'Salary Structure'!$F$6,0))</x:f>
        <x:v>3000</x:v>
      </x:c>
      <x:c r="J11" s="18" t="n">
        <x:f>IF(E11=0,0,'Salary Structure'!$F$7)</x:f>
        <x:v>200</x:v>
      </x:c>
      <x:c r="K11" s="40"/>
      <x:c r="L11" s="18" t="e">
        <x:f>IF(E11=0,0,IF(ISNUMBER(K11),MAX(0,K11),IF(ROW()=MATCH(TRUE,INDEX($E$7:$E$18&gt;0,0),0)+6,MIN('Salary Structure'!$F$26,ROUND('Salary Structure'!$F$26/COUNTIF($E$7:$E$18,"&gt;0")*E11/B11*'Salary Structure'!$F$13,0)),IF(ROW()=LOOKUP(2,1/($E$7:$E$18&gt;0),ROW($E$7:$E$18)),MAX(0,'Salary Structure'!$F$26-SUM($L$6:L10)),MAX(0,ROUND(('Salary Structure'!$F$26-INDEX($L$7:$L$18,MATCH(TRUE,INDEX($E$7:$E$18&gt;0,0),0)))/(COUNTIF($E$7:$E$18,"&gt;0")-1),0))))))</x:f>
        <x:v>#N/A</x:v>
      </x:c>
      <x:c r="M11" s="18" t="e">
        <x:f>SUM(I11:J11)+L11</x:f>
        <x:v>#N/A</x:v>
      </x:c>
      <x:c r="N11" s="18" t="e">
        <x:f>H11-M11</x:f>
        <x:v>#N/A</x:v>
      </x:c>
      <x:c r="O11" s="18" t="n">
        <x:f>IF(C11=0,0,ROUND('Salary Structure'!$B$10*C11/B11,0)-H11)</x:f>
        <x:v>0</x:v>
      </x:c>
      <x:c r="P11" s="18" t="n">
        <x:f>IF(E11=0,0,ROUND(MIN(F11,'Salary Structure'!$F$3)*'Salary Structure'!$F$5,0))</x:f>
        <x:v>3000</x:v>
      </x:c>
      <x:c r="Q11" s="18" t="n">
        <x:f>H11+P11</x:f>
        <x:v>110000</x:v>
      </x:c>
      <x:c r="R11" s="18" t="e">
        <x:f>IF(E11=0,0,IF(ROW()=MATCH(TRUE,INDEX($E$7:$E$18&gt;0,0),0)+6,MAX(0,ROUND('Salary Structure'!$F$26/COUNTIF($E$7:$E$18,"&gt;0"),0)-L11),0))</x:f>
        <x:v>#N/A</x:v>
      </x:c>
    </x:row>
    <x:row r="12">
      <x:c r="A12" s="38" t="n">
        <x:v>46266</x:v>
      </x:c>
      <x:c r="B12" t="n">
        <x:f>DAY(EOMONTH(A12,0))</x:f>
        <x:v>30</x:v>
      </x:c>
      <x:c r="C12" t="n">
        <x:f>IF(EOMONTH(A12,0)&lt;$E$3,0,IF($E$3&gt;A12,B12-DAY($E$3)+1,B12))</x:f>
        <x:v>30</x:v>
      </x:c>
      <x:c r="D12" s="16" t="n">
        <x:v>0</x:v>
      </x:c>
      <x:c r="E12" t="n">
        <x:f>MAX(0,C12-D12)</x:f>
        <x:v>30</x:v>
      </x:c>
      <x:c r="F12" s="18" t="n">
        <x:f>IF(E12=0,0,ROUND('Salary Structure'!$B$8*E12/B12,0))</x:f>
        <x:v>55000</x:v>
      </x:c>
      <x:c r="G12" s="18" t="n">
        <x:f>IF(E12=0,0,ROUND('Salary Structure'!$B$9*E12/B12,0))</x:f>
        <x:v>52000</x:v>
      </x:c>
      <x:c r="H12" s="18" t="n">
        <x:f>F12+G12</x:f>
        <x:v>107000</x:v>
      </x:c>
      <x:c r="I12" s="18" t="n">
        <x:f>IF(E12=0,0,ROUND(MIN(F12,'Salary Structure'!$F$3)*'Salary Structure'!$F$6,0))</x:f>
        <x:v>3000</x:v>
      </x:c>
      <x:c r="J12" s="18" t="n">
        <x:f>IF(E12=0,0,'Salary Structure'!$F$7)</x:f>
        <x:v>200</x:v>
      </x:c>
      <x:c r="K12" s="40"/>
      <x:c r="L12" s="18" t="e">
        <x:f>IF(E12=0,0,IF(ISNUMBER(K12),MAX(0,K12),IF(ROW()=MATCH(TRUE,INDEX($E$7:$E$18&gt;0,0),0)+6,MIN('Salary Structure'!$F$26,ROUND('Salary Structure'!$F$26/COUNTIF($E$7:$E$18,"&gt;0")*E12/B12*'Salary Structure'!$F$13,0)),IF(ROW()=LOOKUP(2,1/($E$7:$E$18&gt;0),ROW($E$7:$E$18)),MAX(0,'Salary Structure'!$F$26-SUM($L$6:L11)),MAX(0,ROUND(('Salary Structure'!$F$26-INDEX($L$7:$L$18,MATCH(TRUE,INDEX($E$7:$E$18&gt;0,0),0)))/(COUNTIF($E$7:$E$18,"&gt;0")-1),0))))))</x:f>
        <x:v>#N/A</x:v>
      </x:c>
      <x:c r="M12" s="18" t="e">
        <x:f>SUM(I12:J12)+L12</x:f>
        <x:v>#N/A</x:v>
      </x:c>
      <x:c r="N12" s="18" t="e">
        <x:f>H12-M12</x:f>
        <x:v>#N/A</x:v>
      </x:c>
      <x:c r="O12" s="18" t="n">
        <x:f>IF(C12=0,0,ROUND('Salary Structure'!$B$10*C12/B12,0)-H12)</x:f>
        <x:v>0</x:v>
      </x:c>
      <x:c r="P12" s="18" t="n">
        <x:f>IF(E12=0,0,ROUND(MIN(F12,'Salary Structure'!$F$3)*'Salary Structure'!$F$5,0))</x:f>
        <x:v>3000</x:v>
      </x:c>
      <x:c r="Q12" s="18" t="n">
        <x:f>H12+P12</x:f>
        <x:v>110000</x:v>
      </x:c>
      <x:c r="R12" s="18" t="e">
        <x:f>IF(E12=0,0,IF(ROW()=MATCH(TRUE,INDEX($E$7:$E$18&gt;0,0),0)+6,MAX(0,ROUND('Salary Structure'!$F$26/COUNTIF($E$7:$E$18,"&gt;0"),0)-L12),0))</x:f>
        <x:v>#N/A</x:v>
      </x:c>
    </x:row>
    <x:row r="13">
      <x:c r="A13" s="38" t="n">
        <x:v>46296</x:v>
      </x:c>
      <x:c r="B13" t="n">
        <x:f>DAY(EOMONTH(A13,0))</x:f>
        <x:v>31</x:v>
      </x:c>
      <x:c r="C13" t="n">
        <x:f>IF(EOMONTH(A13,0)&lt;$E$3,0,IF($E$3&gt;A13,B13-DAY($E$3)+1,B13))</x:f>
        <x:v>31</x:v>
      </x:c>
      <x:c r="D13" s="16" t="n">
        <x:v>0</x:v>
      </x:c>
      <x:c r="E13" t="n">
        <x:f>MAX(0,C13-D13)</x:f>
        <x:v>31</x:v>
      </x:c>
      <x:c r="F13" s="18" t="n">
        <x:f>IF(E13=0,0,ROUND('Salary Structure'!$B$8*E13/B13,0))</x:f>
        <x:v>55000</x:v>
      </x:c>
      <x:c r="G13" s="18" t="n">
        <x:f>IF(E13=0,0,ROUND('Salary Structure'!$B$9*E13/B13,0))</x:f>
        <x:v>52000</x:v>
      </x:c>
      <x:c r="H13" s="18" t="n">
        <x:f>F13+G13</x:f>
        <x:v>107000</x:v>
      </x:c>
      <x:c r="I13" s="18" t="n">
        <x:f>IF(E13=0,0,ROUND(MIN(F13,'Salary Structure'!$F$3)*'Salary Structure'!$F$6,0))</x:f>
        <x:v>3000</x:v>
      </x:c>
      <x:c r="J13" s="18" t="n">
        <x:f>IF(E13=0,0,'Salary Structure'!$F$7)</x:f>
        <x:v>200</x:v>
      </x:c>
      <x:c r="K13" s="40"/>
      <x:c r="L13" s="18" t="e">
        <x:f>IF(E13=0,0,IF(ISNUMBER(K13),MAX(0,K13),IF(ROW()=MATCH(TRUE,INDEX($E$7:$E$18&gt;0,0),0)+6,MIN('Salary Structure'!$F$26,ROUND('Salary Structure'!$F$26/COUNTIF($E$7:$E$18,"&gt;0")*E13/B13*'Salary Structure'!$F$13,0)),IF(ROW()=LOOKUP(2,1/($E$7:$E$18&gt;0),ROW($E$7:$E$18)),MAX(0,'Salary Structure'!$F$26-SUM($L$6:L12)),MAX(0,ROUND(('Salary Structure'!$F$26-INDEX($L$7:$L$18,MATCH(TRUE,INDEX($E$7:$E$18&gt;0,0),0)))/(COUNTIF($E$7:$E$18,"&gt;0")-1),0))))))</x:f>
        <x:v>#N/A</x:v>
      </x:c>
      <x:c r="M13" s="18" t="e">
        <x:f>SUM(I13:J13)+L13</x:f>
        <x:v>#N/A</x:v>
      </x:c>
      <x:c r="N13" s="18" t="e">
        <x:f>H13-M13</x:f>
        <x:v>#N/A</x:v>
      </x:c>
      <x:c r="O13" s="18" t="n">
        <x:f>IF(C13=0,0,ROUND('Salary Structure'!$B$10*C13/B13,0)-H13)</x:f>
        <x:v>0</x:v>
      </x:c>
      <x:c r="P13" s="18" t="n">
        <x:f>IF(E13=0,0,ROUND(MIN(F13,'Salary Structure'!$F$3)*'Salary Structure'!$F$5,0))</x:f>
        <x:v>3000</x:v>
      </x:c>
      <x:c r="Q13" s="18" t="n">
        <x:f>H13+P13</x:f>
        <x:v>110000</x:v>
      </x:c>
      <x:c r="R13" s="18" t="e">
        <x:f>IF(E13=0,0,IF(ROW()=MATCH(TRUE,INDEX($E$7:$E$18&gt;0,0),0)+6,MAX(0,ROUND('Salary Structure'!$F$26/COUNTIF($E$7:$E$18,"&gt;0"),0)-L13),0))</x:f>
        <x:v>#N/A</x:v>
      </x:c>
    </x:row>
    <x:row r="14">
      <x:c r="A14" s="38" t="n">
        <x:v>46327</x:v>
      </x:c>
      <x:c r="B14" t="n">
        <x:f>DAY(EOMONTH(A14,0))</x:f>
        <x:v>30</x:v>
      </x:c>
      <x:c r="C14" t="n">
        <x:f>IF(EOMONTH(A14,0)&lt;$E$3,0,IF($E$3&gt;A14,B14-DAY($E$3)+1,B14))</x:f>
        <x:v>30</x:v>
      </x:c>
      <x:c r="D14" s="16" t="n">
        <x:v>0</x:v>
      </x:c>
      <x:c r="E14" t="n">
        <x:f>MAX(0,C14-D14)</x:f>
        <x:v>30</x:v>
      </x:c>
      <x:c r="F14" s="18" t="n">
        <x:f>IF(E14=0,0,ROUND('Salary Structure'!$B$8*E14/B14,0))</x:f>
        <x:v>55000</x:v>
      </x:c>
      <x:c r="G14" s="18" t="n">
        <x:f>IF(E14=0,0,ROUND('Salary Structure'!$B$9*E14/B14,0))</x:f>
        <x:v>52000</x:v>
      </x:c>
      <x:c r="H14" s="18" t="n">
        <x:f>F14+G14</x:f>
        <x:v>107000</x:v>
      </x:c>
      <x:c r="I14" s="18" t="n">
        <x:f>IF(E14=0,0,ROUND(MIN(F14,'Salary Structure'!$F$3)*'Salary Structure'!$F$6,0))</x:f>
        <x:v>3000</x:v>
      </x:c>
      <x:c r="J14" s="18" t="n">
        <x:f>IF(E14=0,0,'Salary Structure'!$F$7)</x:f>
        <x:v>200</x:v>
      </x:c>
      <x:c r="K14" s="40"/>
      <x:c r="L14" s="18" t="e">
        <x:f>IF(E14=0,0,IF(ISNUMBER(K14),MAX(0,K14),IF(ROW()=MATCH(TRUE,INDEX($E$7:$E$18&gt;0,0),0)+6,MIN('Salary Structure'!$F$26,ROUND('Salary Structure'!$F$26/COUNTIF($E$7:$E$18,"&gt;0")*E14/B14*'Salary Structure'!$F$13,0)),IF(ROW()=LOOKUP(2,1/($E$7:$E$18&gt;0),ROW($E$7:$E$18)),MAX(0,'Salary Structure'!$F$26-SUM($L$6:L13)),MAX(0,ROUND(('Salary Structure'!$F$26-INDEX($L$7:$L$18,MATCH(TRUE,INDEX($E$7:$E$18&gt;0,0),0)))/(COUNTIF($E$7:$E$18,"&gt;0")-1),0))))))</x:f>
        <x:v>#N/A</x:v>
      </x:c>
      <x:c r="M14" s="18" t="e">
        <x:f>SUM(I14:J14)+L14</x:f>
        <x:v>#N/A</x:v>
      </x:c>
      <x:c r="N14" s="18" t="e">
        <x:f>H14-M14</x:f>
        <x:v>#N/A</x:v>
      </x:c>
      <x:c r="O14" s="18" t="n">
        <x:f>IF(C14=0,0,ROUND('Salary Structure'!$B$10*C14/B14,0)-H14)</x:f>
        <x:v>0</x:v>
      </x:c>
      <x:c r="P14" s="18" t="n">
        <x:f>IF(E14=0,0,ROUND(MIN(F14,'Salary Structure'!$F$3)*'Salary Structure'!$F$5,0))</x:f>
        <x:v>3000</x:v>
      </x:c>
      <x:c r="Q14" s="18" t="n">
        <x:f>H14+P14</x:f>
        <x:v>110000</x:v>
      </x:c>
      <x:c r="R14" s="18" t="e">
        <x:f>IF(E14=0,0,IF(ROW()=MATCH(TRUE,INDEX($E$7:$E$18&gt;0,0),0)+6,MAX(0,ROUND('Salary Structure'!$F$26/COUNTIF($E$7:$E$18,"&gt;0"),0)-L14),0))</x:f>
        <x:v>#N/A</x:v>
      </x:c>
    </x:row>
    <x:row r="15">
      <x:c r="A15" s="38" t="n">
        <x:v>46357</x:v>
      </x:c>
      <x:c r="B15" t="n">
        <x:f>DAY(EOMONTH(A15,0))</x:f>
        <x:v>31</x:v>
      </x:c>
      <x:c r="C15" t="n">
        <x:f>IF(EOMONTH(A15,0)&lt;$E$3,0,IF($E$3&gt;A15,B15-DAY($E$3)+1,B15))</x:f>
        <x:v>31</x:v>
      </x:c>
      <x:c r="D15" s="16" t="n">
        <x:v>0</x:v>
      </x:c>
      <x:c r="E15" t="n">
        <x:f>MAX(0,C15-D15)</x:f>
        <x:v>31</x:v>
      </x:c>
      <x:c r="F15" s="18" t="n">
        <x:f>IF(E15=0,0,ROUND('Salary Structure'!$B$8*E15/B15,0))</x:f>
        <x:v>55000</x:v>
      </x:c>
      <x:c r="G15" s="18" t="n">
        <x:f>IF(E15=0,0,ROUND('Salary Structure'!$B$9*E15/B15,0))</x:f>
        <x:v>52000</x:v>
      </x:c>
      <x:c r="H15" s="18" t="n">
        <x:f>F15+G15</x:f>
        <x:v>107000</x:v>
      </x:c>
      <x:c r="I15" s="18" t="n">
        <x:f>IF(E15=0,0,ROUND(MIN(F15,'Salary Structure'!$F$3)*'Salary Structure'!$F$6,0))</x:f>
        <x:v>3000</x:v>
      </x:c>
      <x:c r="J15" s="18" t="n">
        <x:f>IF(E15=0,0,'Salary Structure'!$F$7)</x:f>
        <x:v>200</x:v>
      </x:c>
      <x:c r="K15" s="40"/>
      <x:c r="L15" s="18" t="e">
        <x:f>IF(E15=0,0,IF(ISNUMBER(K15),MAX(0,K15),IF(ROW()=MATCH(TRUE,INDEX($E$7:$E$18&gt;0,0),0)+6,MIN('Salary Structure'!$F$26,ROUND('Salary Structure'!$F$26/COUNTIF($E$7:$E$18,"&gt;0")*E15/B15*'Salary Structure'!$F$13,0)),IF(ROW()=LOOKUP(2,1/($E$7:$E$18&gt;0),ROW($E$7:$E$18)),MAX(0,'Salary Structure'!$F$26-SUM($L$6:L14)),MAX(0,ROUND(('Salary Structure'!$F$26-INDEX($L$7:$L$18,MATCH(TRUE,INDEX($E$7:$E$18&gt;0,0),0)))/(COUNTIF($E$7:$E$18,"&gt;0")-1),0))))))</x:f>
        <x:v>#N/A</x:v>
      </x:c>
      <x:c r="M15" s="18" t="e">
        <x:f>SUM(I15:J15)+L15</x:f>
        <x:v>#N/A</x:v>
      </x:c>
      <x:c r="N15" s="18" t="e">
        <x:f>H15-M15</x:f>
        <x:v>#N/A</x:v>
      </x:c>
      <x:c r="O15" s="18" t="n">
        <x:f>IF(C15=0,0,ROUND('Salary Structure'!$B$10*C15/B15,0)-H15)</x:f>
        <x:v>0</x:v>
      </x:c>
      <x:c r="P15" s="18" t="n">
        <x:f>IF(E15=0,0,ROUND(MIN(F15,'Salary Structure'!$F$3)*'Salary Structure'!$F$5,0))</x:f>
        <x:v>3000</x:v>
      </x:c>
      <x:c r="Q15" s="18" t="n">
        <x:f>H15+P15</x:f>
        <x:v>110000</x:v>
      </x:c>
      <x:c r="R15" s="18" t="e">
        <x:f>IF(E15=0,0,IF(ROW()=MATCH(TRUE,INDEX($E$7:$E$18&gt;0,0),0)+6,MAX(0,ROUND('Salary Structure'!$F$26/COUNTIF($E$7:$E$18,"&gt;0"),0)-L15),0))</x:f>
        <x:v>#N/A</x:v>
      </x:c>
    </x:row>
    <x:row r="16">
      <x:c r="A16" s="38" t="n">
        <x:v>46388</x:v>
      </x:c>
      <x:c r="B16" t="n">
        <x:f>DAY(EOMONTH(A16,0))</x:f>
        <x:v>31</x:v>
      </x:c>
      <x:c r="C16" t="n">
        <x:f>IF(EOMONTH(A16,0)&lt;$E$3,0,IF($E$3&gt;A16,B16-DAY($E$3)+1,B16))</x:f>
        <x:v>31</x:v>
      </x:c>
      <x:c r="D16" s="16" t="n">
        <x:v>0</x:v>
      </x:c>
      <x:c r="E16" t="n">
        <x:f>MAX(0,C16-D16)</x:f>
        <x:v>31</x:v>
      </x:c>
      <x:c r="F16" s="18" t="n">
        <x:f>IF(E16=0,0,ROUND('Salary Structure'!$B$8*E16/B16,0))</x:f>
        <x:v>55000</x:v>
      </x:c>
      <x:c r="G16" s="18" t="n">
        <x:f>IF(E16=0,0,ROUND('Salary Structure'!$B$9*E16/B16,0))</x:f>
        <x:v>52000</x:v>
      </x:c>
      <x:c r="H16" s="18" t="n">
        <x:f>F16+G16</x:f>
        <x:v>107000</x:v>
      </x:c>
      <x:c r="I16" s="18" t="n">
        <x:f>IF(E16=0,0,ROUND(MIN(F16,'Salary Structure'!$F$3)*'Salary Structure'!$F$6,0))</x:f>
        <x:v>3000</x:v>
      </x:c>
      <x:c r="J16" s="18" t="n">
        <x:f>IF(E16=0,0,'Salary Structure'!$F$7)</x:f>
        <x:v>200</x:v>
      </x:c>
      <x:c r="K16" s="40"/>
      <x:c r="L16" s="18" t="e">
        <x:f>IF(E16=0,0,IF(ISNUMBER(K16),MAX(0,K16),IF(ROW()=MATCH(TRUE,INDEX($E$7:$E$18&gt;0,0),0)+6,MIN('Salary Structure'!$F$26,ROUND('Salary Structure'!$F$26/COUNTIF($E$7:$E$18,"&gt;0")*E16/B16*'Salary Structure'!$F$13,0)),IF(ROW()=LOOKUP(2,1/($E$7:$E$18&gt;0),ROW($E$7:$E$18)),MAX(0,'Salary Structure'!$F$26-SUM($L$6:L15)),MAX(0,ROUND(('Salary Structure'!$F$26-INDEX($L$7:$L$18,MATCH(TRUE,INDEX($E$7:$E$18&gt;0,0),0)))/(COUNTIF($E$7:$E$18,"&gt;0")-1),0))))))</x:f>
        <x:v>#N/A</x:v>
      </x:c>
      <x:c r="M16" s="18" t="e">
        <x:f>SUM(I16:J16)+L16</x:f>
        <x:v>#N/A</x:v>
      </x:c>
      <x:c r="N16" s="18" t="e">
        <x:f>H16-M16</x:f>
        <x:v>#N/A</x:v>
      </x:c>
      <x:c r="O16" s="18" t="n">
        <x:f>IF(C16=0,0,ROUND('Salary Structure'!$B$10*C16/B16,0)-H16)</x:f>
        <x:v>0</x:v>
      </x:c>
      <x:c r="P16" s="18" t="n">
        <x:f>IF(E16=0,0,ROUND(MIN(F16,'Salary Structure'!$F$3)*'Salary Structure'!$F$5,0))</x:f>
        <x:v>3000</x:v>
      </x:c>
      <x:c r="Q16" s="18" t="n">
        <x:f>H16+P16</x:f>
        <x:v>110000</x:v>
      </x:c>
      <x:c r="R16" s="18" t="e">
        <x:f>IF(E16=0,0,IF(ROW()=MATCH(TRUE,INDEX($E$7:$E$18&gt;0,0),0)+6,MAX(0,ROUND('Salary Structure'!$F$26/COUNTIF($E$7:$E$18,"&gt;0"),0)-L16),0))</x:f>
        <x:v>#N/A</x:v>
      </x:c>
    </x:row>
    <x:row r="17">
      <x:c r="A17" s="38" t="n">
        <x:v>46419</x:v>
      </x:c>
      <x:c r="B17" t="n">
        <x:f>DAY(EOMONTH(A17,0))</x:f>
        <x:v>28</x:v>
      </x:c>
      <x:c r="C17" t="n">
        <x:f>IF(EOMONTH(A17,0)&lt;$E$3,0,IF($E$3&gt;A17,B17-DAY($E$3)+1,B17))</x:f>
        <x:v>28</x:v>
      </x:c>
      <x:c r="D17" s="16" t="n">
        <x:v>0</x:v>
      </x:c>
      <x:c r="E17" t="n">
        <x:f>MAX(0,C17-D17)</x:f>
        <x:v>28</x:v>
      </x:c>
      <x:c r="F17" s="18" t="n">
        <x:f>IF(E17=0,0,ROUND('Salary Structure'!$B$8*E17/B17,0))</x:f>
        <x:v>55000</x:v>
      </x:c>
      <x:c r="G17" s="18" t="n">
        <x:f>IF(E17=0,0,ROUND('Salary Structure'!$B$9*E17/B17,0))</x:f>
        <x:v>52000</x:v>
      </x:c>
      <x:c r="H17" s="18" t="n">
        <x:f>F17+G17</x:f>
        <x:v>107000</x:v>
      </x:c>
      <x:c r="I17" s="18" t="n">
        <x:f>IF(E17=0,0,ROUND(MIN(F17,'Salary Structure'!$F$3)*'Salary Structure'!$F$6,0))</x:f>
        <x:v>3000</x:v>
      </x:c>
      <x:c r="J17" s="18" t="n">
        <x:f>IF(E17=0,0,'Salary Structure'!$F$7)</x:f>
        <x:v>200</x:v>
      </x:c>
      <x:c r="K17" s="40"/>
      <x:c r="L17" s="18" t="e">
        <x:f>IF(E17=0,0,IF(ISNUMBER(K17),MAX(0,K17),IF(ROW()=MATCH(TRUE,INDEX($E$7:$E$18&gt;0,0),0)+6,MIN('Salary Structure'!$F$26,ROUND('Salary Structure'!$F$26/COUNTIF($E$7:$E$18,"&gt;0")*E17/B17*'Salary Structure'!$F$13,0)),IF(ROW()=LOOKUP(2,1/($E$7:$E$18&gt;0),ROW($E$7:$E$18)),MAX(0,'Salary Structure'!$F$26-SUM($L$6:L16)),MAX(0,ROUND(('Salary Structure'!$F$26-INDEX($L$7:$L$18,MATCH(TRUE,INDEX($E$7:$E$18&gt;0,0),0)))/(COUNTIF($E$7:$E$18,"&gt;0")-1),0))))))</x:f>
        <x:v>#N/A</x:v>
      </x:c>
      <x:c r="M17" s="18" t="e">
        <x:f>SUM(I17:J17)+L17</x:f>
        <x:v>#N/A</x:v>
      </x:c>
      <x:c r="N17" s="18" t="e">
        <x:f>H17-M17</x:f>
        <x:v>#N/A</x:v>
      </x:c>
      <x:c r="O17" s="18" t="n">
        <x:f>IF(C17=0,0,ROUND('Salary Structure'!$B$10*C17/B17,0)-H17)</x:f>
        <x:v>0</x:v>
      </x:c>
      <x:c r="P17" s="18" t="n">
        <x:f>IF(E17=0,0,ROUND(MIN(F17,'Salary Structure'!$F$3)*'Salary Structure'!$F$5,0))</x:f>
        <x:v>3000</x:v>
      </x:c>
      <x:c r="Q17" s="18" t="n">
        <x:f>H17+P17</x:f>
        <x:v>110000</x:v>
      </x:c>
      <x:c r="R17" s="18" t="e">
        <x:f>IF(E17=0,0,IF(ROW()=MATCH(TRUE,INDEX($E$7:$E$18&gt;0,0),0)+6,MAX(0,ROUND('Salary Structure'!$F$26/COUNTIF($E$7:$E$18,"&gt;0"),0)-L17),0))</x:f>
        <x:v>#N/A</x:v>
      </x:c>
    </x:row>
    <x:row r="18">
      <x:c r="A18" s="38" t="n">
        <x:v>46447</x:v>
      </x:c>
      <x:c r="B18" t="n">
        <x:f>DAY(EOMONTH(A18,0))</x:f>
        <x:v>31</x:v>
      </x:c>
      <x:c r="C18" t="n">
        <x:f>IF(EOMONTH(A18,0)&lt;$E$3,0,IF($E$3&gt;A18,B18-DAY($E$3)+1,B18))</x:f>
        <x:v>31</x:v>
      </x:c>
      <x:c r="D18" s="16" t="n">
        <x:v>0</x:v>
      </x:c>
      <x:c r="E18" t="n">
        <x:f>MAX(0,C18-D18)</x:f>
        <x:v>31</x:v>
      </x:c>
      <x:c r="F18" s="18" t="n">
        <x:f>IF(E18=0,0,ROUND('Salary Structure'!$B$8*E18/B18,0))</x:f>
        <x:v>55000</x:v>
      </x:c>
      <x:c r="G18" s="18" t="n">
        <x:f>IF(E18=0,0,ROUND('Salary Structure'!$B$9*E18/B18,0))</x:f>
        <x:v>52000</x:v>
      </x:c>
      <x:c r="H18" s="18" t="n">
        <x:f>F18+G18</x:f>
        <x:v>107000</x:v>
      </x:c>
      <x:c r="I18" s="18" t="n">
        <x:f>IF(E18=0,0,ROUND(MIN(F18,'Salary Structure'!$F$3)*'Salary Structure'!$F$6,0))</x:f>
        <x:v>3000</x:v>
      </x:c>
      <x:c r="J18" s="18" t="n">
        <x:f>IF(E18=0,0,'Salary Structure'!$F$7)</x:f>
        <x:v>200</x:v>
      </x:c>
      <x:c r="K18" s="40"/>
      <x:c r="L18" s="18" t="e">
        <x:f>IF(E18=0,0,IF(ISNUMBER(K18),MAX(0,K18),IF(ROW()=MATCH(TRUE,INDEX($E$7:$E$18&gt;0,0),0)+6,MIN('Salary Structure'!$F$26,ROUND('Salary Structure'!$F$26/COUNTIF($E$7:$E$18,"&gt;0")*E18/B18*'Salary Structure'!$F$13,0)),IF(ROW()=LOOKUP(2,1/($E$7:$E$18&gt;0),ROW($E$7:$E$18)),MAX(0,'Salary Structure'!$F$26-SUM($L$6:L17)),MAX(0,ROUND(('Salary Structure'!$F$26-INDEX($L$7:$L$18,MATCH(TRUE,INDEX($E$7:$E$18&gt;0,0),0)))/(COUNTIF($E$7:$E$18,"&gt;0")-1),0))))))</x:f>
        <x:v>#N/A</x:v>
      </x:c>
      <x:c r="M18" s="18" t="e">
        <x:f>SUM(I18:J18)+L18</x:f>
        <x:v>#N/A</x:v>
      </x:c>
      <x:c r="N18" s="18" t="e">
        <x:f>H18-M18</x:f>
        <x:v>#N/A</x:v>
      </x:c>
      <x:c r="O18" s="18" t="n">
        <x:f>IF(C18=0,0,ROUND('Salary Structure'!$B$10*C18/B18,0)-H18)</x:f>
        <x:v>0</x:v>
      </x:c>
      <x:c r="P18" s="18" t="n">
        <x:f>IF(E18=0,0,ROUND(MIN(F18,'Salary Structure'!$F$3)*'Salary Structure'!$F$5,0))</x:f>
        <x:v>3000</x:v>
      </x:c>
      <x:c r="Q18" s="18" t="n">
        <x:f>H18+P18</x:f>
        <x:v>110000</x:v>
      </x:c>
      <x:c r="R18" s="18" t="e">
        <x:f>IF(E18=0,0,IF(ROW()=MATCH(TRUE,INDEX($E$7:$E$18&gt;0,0),0)+6,MAX(0,ROUND('Salary Structure'!$F$26/COUNTIF($E$7:$E$18,"&gt;0"),0)-L18),0))</x:f>
        <x:v>#N/A</x:v>
      </x:c>
    </x:row>
    <x:row r="19"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</x:row>
    <x:row r="20">
      <x:c r="A20" s="10" t="str">
        <x:v>FY TOTAL</x:v>
      </x:c>
      <x:c r="B20" s="10"/>
      <x:c r="C20" s="10"/>
      <x:c r="D20" s="10"/>
      <x:c r="E20" s="10"/>
      <x:c r="F20" s="41" t="n">
        <x:f>SUM(F7:F18)</x:f>
        <x:v>557097</x:v>
      </x:c>
      <x:c r="G20" s="41" t="n">
        <x:f>SUM(G7:G18)</x:f>
        <x:v>526710</x:v>
      </x:c>
      <x:c r="H20" s="41" t="n">
        <x:f>SUM(H7:H18)</x:f>
        <x:v>1083807</x:v>
      </x:c>
      <x:c r="I20" s="41" t="n">
        <x:f>SUM(I7:I18)</x:f>
        <x:v>30852</x:v>
      </x:c>
      <x:c r="J20" s="41" t="n">
        <x:f>SUM(J7:J18)</x:f>
        <x:v>2200</x:v>
      </x:c>
      <x:c r="K20" s="41"/>
      <x:c r="L20" s="41" t="e">
        <x:f>SUM(L7:L18)</x:f>
        <x:v>#N/A</x:v>
      </x:c>
      <x:c r="M20" s="41" t="e">
        <x:f>SUM(M7:M18)</x:f>
        <x:v>#N/A</x:v>
      </x:c>
      <x:c r="N20" s="41" t="e">
        <x:f>SUM(N7:N18)</x:f>
        <x:v>#N/A</x:v>
      </x:c>
      <x:c r="O20" s="41" t="n">
        <x:f>SUM(O7:O18)</x:f>
        <x:v>-1</x:v>
      </x:c>
      <x:c r="P20" s="41" t="n">
        <x:f>SUM(P7:P18)</x:f>
        <x:v>30852</x:v>
      </x:c>
      <x:c r="Q20" s="41" t="n">
        <x:f>SUM(Q7:Q18)</x:f>
        <x:v>1114659</x:v>
      </x:c>
      <x:c r="R20" s="41" t="e">
        <x:f>SUM(R7:R18)</x:f>
        <x:v>#N/A</x:v>
      </x:c>
    </x:row>
    <x:row r="23" ht="36" customHeight="1">
      <x:c r="A23" s="28" t="str">
        <x:v>Edit yellow cells only: joining date, LOP days, optional TDS override. To lower first-month TDS further, edit the first-month factor on Salary Structure.</x:v>
      </x:c>
      <x:c r="B23" s="28"/>
      <x:c r="C23" s="28"/>
      <x:c r="D23" s="28"/>
      <x:c r="E23" s="28"/>
      <x:c r="F23" s="28"/>
      <x:c r="G23" s="28"/>
      <x:c r="H23" s="28"/>
      <x:c r="I23" s="28"/>
      <x:c r="J23" s="28"/>
    </x:row>
  </x:sheetData>
  <x:mergeCells>
    <x:mergeCell ref="A1:R1"/>
    <x:mergeCell ref="A4:R4"/>
    <x:mergeCell ref="A23:J2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3" t="str">
        <x:v>TDS DISTRIBUTION — HOW IT WORKS</x:v>
      </x:c>
      <x:c r="B1" s="3"/>
      <x:c r="C1" s="3"/>
      <x:c r="D1" s="3"/>
      <x:c r="E1" s="3"/>
      <x:c r="F1" s="3"/>
    </x:row>
    <x:row r="3">
      <x:c r="A3" t="str">
        <x:v>Illustrative annual remaining TDS</x:v>
      </x:c>
      <x:c r="B3" t="n">
        <x:v>200000</x:v>
      </x:c>
    </x:row>
    <x:row r="4">
      <x:c r="A4" t="str">
        <x:v>Eligible payroll months</x:v>
      </x:c>
      <x:c r="B4" t="n">
        <x:v>10</x:v>
      </x:c>
    </x:row>
    <x:row r="5">
      <x:c r="A5" t="str">
        <x:v>First-month paid days</x:v>
      </x:c>
      <x:c r="B5" t="n">
        <x:v>6</x:v>
      </x:c>
    </x:row>
    <x:row r="6">
      <x:c r="A6" t="str">
        <x:v>First-month calendar days</x:v>
      </x:c>
      <x:c r="B6" t="n">
        <x:v>30</x:v>
      </x:c>
    </x:row>
    <x:row r="8">
      <x:c r="A8" s="14" t="str">
        <x:v>Normal monthly TDS</x:v>
      </x:c>
      <x:c r="B8" s="14" t="n">
        <x:f>ROUND(B3/B4,0)</x:f>
        <x:v>20000</x:v>
      </x:c>
    </x:row>
    <x:row r="9">
      <x:c r="A9" s="14" t="str">
        <x:v>First-month TDS</x:v>
      </x:c>
      <x:c r="B9" s="14" t="n">
        <x:f>ROUND(B8*B5/B6,0)</x:f>
        <x:v>4000</x:v>
      </x:c>
    </x:row>
    <x:row r="10">
      <x:c r="A10" s="14" t="str">
        <x:v>First-month deferred</x:v>
      </x:c>
      <x:c r="B10" s="14" t="n">
        <x:f>B8-B9</x:f>
        <x:v>16000</x:v>
      </x:c>
    </x:row>
    <x:row r="11">
      <x:c r="A11" s="14" t="str">
        <x:v>Remaining months</x:v>
      </x:c>
      <x:c r="B11" s="14" t="n">
        <x:f>B4-1</x:f>
        <x:v>9</x:v>
      </x:c>
    </x:row>
    <x:row r="12">
      <x:c r="A12" s="14" t="str">
        <x:v>Next months TDS (rounded)</x:v>
      </x:c>
      <x:c r="B12" s="14" t="n">
        <x:f>ROUND((B3-B9)/B11,0)</x:f>
        <x:v>21778</x:v>
      </x:c>
    </x:row>
    <x:row r="15">
      <x:c r="A15" s="28" t="str">
        <x:v>Example only. Live workbook uses projected annual tax less previous-employer TDS and TDS already deducted. The first payroll month is prorated; its deferred TDS is redistributed over later eligible payroll months.</x:v>
      </x:c>
      <x:c r="B15" s="28"/>
      <x:c r="C15" s="28"/>
      <x:c r="D15" s="28"/>
      <x:c r="E15" s="28"/>
      <x:c r="F15" s="28"/>
    </x:row>
    <x:row r="16">
      <x:c r="A16" s="28"/>
      <x:c r="B16" s="28"/>
      <x:c r="C16" s="28"/>
      <x:c r="D16" s="28"/>
      <x:c r="E16" s="28"/>
      <x:c r="F16" s="28"/>
    </x:row>
  </x:sheetData>
  <x:mergeCells>
    <x:mergeCell ref="A1:F1"/>
    <x:mergeCell ref="A15:F16"/>
  </x:mergeCells>
  <x:pageMargins left="0.7" right="0.7" top="0.75" bottom="0.75" header="0.3" footer="0.3"/>
</x:worksheet>
</file>